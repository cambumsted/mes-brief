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EX FY26 Q2" sheetId="1" state="visible" r:id="rId1"/>
    <sheet xmlns:r="http://schemas.openxmlformats.org/officeDocument/2006/relationships" name="Metric 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-"/>
    <numFmt numFmtId="165" formatCode="0.00%;(0.00%);-"/>
    <numFmt numFmtId="166" formatCode="$#,##0.00;($#,##0.00);-"/>
    <numFmt numFmtId="167" formatCode="0.00&quot;x&quot;"/>
  </numFmts>
  <fonts count="10">
    <font>
      <name val="Calibri"/>
      <family val="2"/>
      <color theme="1"/>
      <sz val="11"/>
      <scheme val="minor"/>
    </font>
    <font>
      <name val="Arial"/>
      <b val="1"/>
      <color rgb="00091F2E"/>
      <sz val="14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b val="1"/>
      <color rgb="00091F2E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91F2E"/>
      </patternFill>
    </fill>
    <fill>
      <patternFill patternType="solid">
        <fgColor rgb="00E6F2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3" borderId="1" applyAlignment="1" pivotButton="0" quotePrefix="0" xfId="0">
      <alignment vertical="top" wrapText="1"/>
    </xf>
    <xf numFmtId="164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167" fontId="5" fillId="3" borderId="1" pivotButton="0" quotePrefix="0" xfId="0"/>
    <xf numFmtId="0" fontId="5" fillId="3" borderId="1" pivotButton="0" quotePrefix="0" xfId="0"/>
    <xf numFmtId="0" fontId="5" fillId="3" borderId="1" applyAlignment="1" pivotButton="0" quotePrefix="0" xfId="0">
      <alignment vertical="top" wrapText="1"/>
    </xf>
    <xf numFmtId="0" fontId="7" fillId="0" borderId="1" pivotButton="0" quotePrefix="0" xfId="0"/>
    <xf numFmtId="0" fontId="7" fillId="0" borderId="1" applyAlignment="1" pivotButton="0" quotePrefix="0" xfId="0">
      <alignment vertical="top" wrapText="1"/>
    </xf>
    <xf numFmtId="164" fontId="6" fillId="0" borderId="1" pivotButton="0" quotePrefix="0" xfId="0"/>
    <xf numFmtId="165" fontId="7" fillId="0" borderId="1" pivotButton="0" quotePrefix="0" xfId="0"/>
    <xf numFmtId="166" fontId="6" fillId="0" borderId="1" pivotButton="0" quotePrefix="0" xfId="0"/>
    <xf numFmtId="167" fontId="7" fillId="0" borderId="1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vertical="top" wrapText="1"/>
    </xf>
    <xf numFmtId="164" fontId="3" fillId="2" borderId="1" pivotButton="0" quotePrefix="0" xfId="0"/>
    <xf numFmtId="165" fontId="3" fillId="2" borderId="1" pivotButton="0" quotePrefix="0" xfId="0"/>
    <xf numFmtId="166" fontId="3" fillId="2" borderId="1" pivotButton="0" quotePrefix="0" xfId="0"/>
    <xf numFmtId="167" fontId="3" fillId="2" borderId="1" pivotButton="0" quotePrefix="0" xfId="0"/>
    <xf numFmtId="0" fontId="3" fillId="2" borderId="1" applyAlignment="1" pivotButton="0" quotePrefix="0" xfId="0">
      <alignment horizontal="center" vertical="center"/>
    </xf>
    <xf numFmtId="0" fontId="8" fillId="0" borderId="1" pivotButton="0" quotePrefix="0" xfId="0"/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2" customWidth="1" min="3" max="3"/>
    <col width="30" customWidth="1" min="4" max="4"/>
    <col width="13" customWidth="1" min="5" max="5"/>
    <col width="12" customWidth="1" min="6" max="6"/>
    <col width="11" customWidth="1" min="7" max="7"/>
    <col width="17" customWidth="1" min="8" max="8"/>
    <col width="16" customWidth="1" min="9" max="9"/>
    <col width="18" customWidth="1" min="10" max="10"/>
    <col width="9" customWidth="1" min="11" max="11"/>
    <col width="14" customWidth="1" min="12" max="12"/>
    <col width="38" customWidth="1" min="13" max="13"/>
    <col width="22" customWidth="1" min="14" max="14"/>
    <col width="50" customWidth="1" min="15" max="15"/>
  </cols>
  <sheetData>
    <row r="1">
      <c r="A1" s="1" t="inlineStr">
        <is>
          <t>AMEX FY26 Q2 grid — Nov 2025 – Jan 2026</t>
        </is>
      </c>
    </row>
    <row r="2" ht="28" customHeight="1">
      <c r="A2" s="2" t="inlineStr">
        <is>
          <t>Hardcoded inputs in blue; derived values in black formulas. Region totals SUM their child markets. AOV = Red Spend ÷ Redemptions; ROI = Red Spend ÷ Offer Cost.</t>
        </is>
      </c>
    </row>
    <row r="4" ht="32" customHeight="1">
      <c r="A4" s="3" t="inlineStr">
        <is>
          <t>Region</t>
        </is>
      </c>
      <c r="B4" s="3" t="inlineStr">
        <is>
          <t>Market / Segment</t>
        </is>
      </c>
      <c r="C4" s="3" t="inlineStr">
        <is>
          <t>Audience</t>
        </is>
      </c>
      <c r="D4" s="3" t="inlineStr">
        <is>
          <t>Offer</t>
        </is>
      </c>
      <c r="E4" s="3" t="inlineStr">
        <is>
          <t>Enrollments</t>
        </is>
      </c>
      <c r="F4" s="3" t="inlineStr">
        <is>
          <t>Redemptions</t>
        </is>
      </c>
      <c r="G4" s="3" t="inlineStr">
        <is>
          <t>Red. Rate</t>
        </is>
      </c>
      <c r="H4" s="3" t="inlineStr">
        <is>
          <t>Red. Spend (USD)</t>
        </is>
      </c>
      <c r="I4" s="3" t="inlineStr">
        <is>
          <t>Offer Cost (USD)</t>
        </is>
      </c>
      <c r="J4" s="3" t="inlineStr">
        <is>
          <t>AOV Redeemers (USD)</t>
        </is>
      </c>
      <c r="K4" s="3" t="inlineStr">
        <is>
          <t>ROI</t>
        </is>
      </c>
      <c r="L4" s="3" t="inlineStr">
        <is>
          <t>Revenue (USD)</t>
        </is>
      </c>
      <c r="M4" s="3" t="inlineStr">
        <is>
          <t>Source File</t>
        </is>
      </c>
      <c r="N4" s="3" t="inlineStr">
        <is>
          <t>Source Sheet</t>
        </is>
      </c>
      <c r="O4" s="3" t="inlineStr">
        <is>
          <t>Notes</t>
        </is>
      </c>
    </row>
    <row r="5">
      <c r="A5" s="4" t="inlineStr">
        <is>
          <t>EMEA</t>
        </is>
      </c>
      <c r="B5" s="4" t="inlineStr">
        <is>
          <t>EMEA total — Nov 11, 2025 – Jan 15, 2026</t>
        </is>
      </c>
      <c r="C5" s="4" t="inlineStr"/>
      <c r="D5" s="5" t="inlineStr">
        <is>
          <t>Spend 500/100 (local) · 4 markets</t>
        </is>
      </c>
      <c r="E5" s="6">
        <f>SUM(E6,E7,E8,E9)</f>
        <v/>
      </c>
      <c r="F5" s="6">
        <f>SUM(F6,F7,F8,F9)</f>
        <v/>
      </c>
      <c r="G5" s="7">
        <f>IFERROR(F5/E5,0)</f>
        <v/>
      </c>
      <c r="H5" s="8">
        <f>SUM(H6,H7,H8,H9)</f>
        <v/>
      </c>
      <c r="I5" s="8">
        <f>SUM(I6,I7,I8,I9)</f>
        <v/>
      </c>
      <c r="J5" s="8">
        <f>IFERROR(H5/F5,0)</f>
        <v/>
      </c>
      <c r="K5" s="9">
        <f>IFERROR(H5/I5,0)</f>
        <v/>
      </c>
      <c r="L5" s="10" t="inlineStr">
        <is>
          <t>TBD</t>
        </is>
      </c>
      <c r="M5" s="10" t="inlineStr">
        <is>
          <t>EMEA_AMEX calc template.xlsx</t>
        </is>
      </c>
      <c r="N5" s="10" t="inlineStr">
        <is>
          <t>AMEX FY26 Q2</t>
        </is>
      </c>
      <c r="O5" s="11" t="inlineStr">
        <is>
          <t>AOV Redeemers used; EMEA also tracks AOV Enrolled (col G) — confirm canonical choice.</t>
        </is>
      </c>
    </row>
    <row r="6">
      <c r="A6" s="12" t="inlineStr">
        <is>
          <t>EMEA</t>
        </is>
      </c>
      <c r="B6" s="12" t="inlineStr">
        <is>
          <t>FR (cap 8,000)</t>
        </is>
      </c>
      <c r="C6" s="12" t="inlineStr"/>
      <c r="D6" s="13" t="inlineStr">
        <is>
          <t>Spend €500, get €100</t>
        </is>
      </c>
      <c r="E6" s="14" t="n">
        <v>4053</v>
      </c>
      <c r="F6" s="14" t="n">
        <v>33</v>
      </c>
      <c r="G6" s="15">
        <f>IFERROR(F6/E6,0)</f>
        <v/>
      </c>
      <c r="H6" s="16" t="n">
        <v>46837.46</v>
      </c>
      <c r="I6" s="16" t="n">
        <v>3837.88</v>
      </c>
      <c r="J6" s="16" t="n">
        <v>1306.41</v>
      </c>
      <c r="K6" s="17">
        <f>IFERROR(H6/I6,0)</f>
        <v/>
      </c>
      <c r="L6" s="12" t="inlineStr">
        <is>
          <t>TBD</t>
        </is>
      </c>
      <c r="M6" s="12" t="inlineStr">
        <is>
          <t>EMEA_AMEX calc template.xlsx</t>
        </is>
      </c>
      <c r="N6" s="12" t="inlineStr">
        <is>
          <t>AMEX FY26 Q2</t>
        </is>
      </c>
      <c r="O6" s="13" t="inlineStr">
        <is>
          <t>D16/H16/J16/M16/P16</t>
        </is>
      </c>
    </row>
    <row r="7">
      <c r="A7" s="12" t="inlineStr">
        <is>
          <t>EMEA</t>
        </is>
      </c>
      <c r="B7" s="12" t="inlineStr">
        <is>
          <t>DE (cap 22,000)</t>
        </is>
      </c>
      <c r="C7" s="12" t="inlineStr"/>
      <c r="D7" s="13" t="inlineStr">
        <is>
          <t>Spend €500, get €100</t>
        </is>
      </c>
      <c r="E7" s="14" t="n">
        <v>17545</v>
      </c>
      <c r="F7" s="14" t="n">
        <v>286</v>
      </c>
      <c r="G7" s="15">
        <f>IFERROR(F7/E7,0)</f>
        <v/>
      </c>
      <c r="H7" s="16" t="n">
        <v>362022.14</v>
      </c>
      <c r="I7" s="16" t="n">
        <v>33215.19</v>
      </c>
      <c r="J7" s="16" t="n">
        <v>1166.55</v>
      </c>
      <c r="K7" s="17">
        <f>IFERROR(H7/I7,0)</f>
        <v/>
      </c>
      <c r="L7" s="12" t="inlineStr">
        <is>
          <t>TBD</t>
        </is>
      </c>
      <c r="M7" s="12" t="inlineStr">
        <is>
          <t>EMEA_AMEX calc template.xlsx</t>
        </is>
      </c>
      <c r="N7" s="12" t="inlineStr">
        <is>
          <t>AMEX FY26 Q2</t>
        </is>
      </c>
      <c r="O7" s="13" t="inlineStr">
        <is>
          <t>D25/H25/J25/M25/P25</t>
        </is>
      </c>
    </row>
    <row r="8">
      <c r="A8" s="12" t="inlineStr">
        <is>
          <t>EMEA</t>
        </is>
      </c>
      <c r="B8" s="12" t="inlineStr">
        <is>
          <t>UK (cap 44,000)</t>
        </is>
      </c>
      <c r="C8" s="12" t="inlineStr"/>
      <c r="D8" s="13" t="inlineStr">
        <is>
          <t>Spend £500, get £100</t>
        </is>
      </c>
      <c r="E8" s="14" t="n">
        <v>45943</v>
      </c>
      <c r="F8" s="14" t="n">
        <v>733</v>
      </c>
      <c r="G8" s="15">
        <f>IFERROR(F8/E8,0)</f>
        <v/>
      </c>
      <c r="H8" s="16" t="n">
        <v>1636366.21</v>
      </c>
      <c r="I8" s="16" t="n">
        <v>97060.91</v>
      </c>
      <c r="J8" s="16" t="n">
        <v>2077.12</v>
      </c>
      <c r="K8" s="17">
        <f>IFERROR(H8/I8,0)</f>
        <v/>
      </c>
      <c r="L8" s="12" t="inlineStr">
        <is>
          <t>TBD</t>
        </is>
      </c>
      <c r="M8" s="12" t="inlineStr">
        <is>
          <t>EMEA_AMEX calc template.xlsx</t>
        </is>
      </c>
      <c r="N8" s="12" t="inlineStr">
        <is>
          <t>AMEX FY26 Q2</t>
        </is>
      </c>
      <c r="O8" s="13" t="inlineStr">
        <is>
          <t>D34/H34/J34/M34/P34 — UK exceeded cap (104%)</t>
        </is>
      </c>
    </row>
    <row r="9">
      <c r="A9" s="12" t="inlineStr">
        <is>
          <t>EMEA</t>
        </is>
      </c>
      <c r="B9" s="12" t="inlineStr">
        <is>
          <t>IT (cap 8,000)</t>
        </is>
      </c>
      <c r="C9" s="12" t="inlineStr"/>
      <c r="D9" s="13" t="inlineStr">
        <is>
          <t>Spend €500, get €100</t>
        </is>
      </c>
      <c r="E9" s="14" t="n">
        <v>5414</v>
      </c>
      <c r="F9" s="14" t="n">
        <v>36</v>
      </c>
      <c r="G9" s="15">
        <f>IFERROR(F9/E9,0)</f>
        <v/>
      </c>
      <c r="H9" s="16" t="n">
        <v>80661.60000000001</v>
      </c>
      <c r="I9" s="16" t="n">
        <v>4190.42</v>
      </c>
      <c r="J9" s="16" t="n">
        <v>2062</v>
      </c>
      <c r="K9" s="17">
        <f>IFERROR(H9/I9,0)</f>
        <v/>
      </c>
      <c r="L9" s="12" t="inlineStr">
        <is>
          <t>TBD</t>
        </is>
      </c>
      <c r="M9" s="12" t="inlineStr">
        <is>
          <t>EMEA_AMEX calc template.xlsx</t>
        </is>
      </c>
      <c r="N9" s="12" t="inlineStr">
        <is>
          <t>AMEX FY26 Q2</t>
        </is>
      </c>
      <c r="O9" s="13" t="inlineStr">
        <is>
          <t>D43/H43/J43/M43/P43</t>
        </is>
      </c>
    </row>
    <row r="10">
      <c r="A10" s="4" t="inlineStr">
        <is>
          <t>Asia</t>
        </is>
      </c>
      <c r="B10" s="4" t="inlineStr">
        <is>
          <t>Asia total — Nov 18 – Dec 28, 2025</t>
        </is>
      </c>
      <c r="C10" s="4" t="inlineStr"/>
      <c r="D10" s="5" t="inlineStr">
        <is>
          <t>Mixed offers · 3 markets · 3 templates</t>
        </is>
      </c>
      <c r="E10" s="6">
        <f>SUM(E11,E12,E13,E14,E15)</f>
        <v/>
      </c>
      <c r="F10" s="6">
        <f>SUM(F11,F12,F13,F14,F15)</f>
        <v/>
      </c>
      <c r="G10" s="7">
        <f>IFERROR(F10/E10,0)</f>
        <v/>
      </c>
      <c r="H10" s="8">
        <f>SUM(H11,H12,H13,H14,H15)</f>
        <v/>
      </c>
      <c r="I10" s="8">
        <f>SUM(I11,I12,I13,I14,I15)</f>
        <v/>
      </c>
      <c r="J10" s="8">
        <f>IFERROR(H10/F10,0)</f>
        <v/>
      </c>
      <c r="K10" s="9">
        <f>IFERROR(H10/I10,0)</f>
        <v/>
      </c>
      <c r="L10" s="10" t="inlineStr">
        <is>
          <t>TBD</t>
        </is>
      </c>
      <c r="M10" s="10" t="inlineStr">
        <is>
          <t>Asia_AMEX-Campaign-FY25-Q4.xlsx</t>
        </is>
      </c>
      <c r="N10" s="10" t="inlineStr">
        <is>
          <t>FY26 Q2</t>
        </is>
      </c>
      <c r="O10" s="11" t="inlineStr">
        <is>
          <t>Asia interim block has no enrollments column — enrollments derived = redemptions / red rate per market (each market hit cap).</t>
        </is>
      </c>
    </row>
    <row r="11">
      <c r="A11" s="12" t="inlineStr">
        <is>
          <t>Asia</t>
        </is>
      </c>
      <c r="B11" s="12" t="inlineStr">
        <is>
          <t>AU Consumer (cap 20,000)</t>
        </is>
      </c>
      <c r="C11" s="12" t="inlineStr"/>
      <c r="D11" s="13" t="inlineStr">
        <is>
          <t>Spend AUD$800, get AUD$200</t>
        </is>
      </c>
      <c r="E11" s="14" t="n">
        <v>20000</v>
      </c>
      <c r="F11" s="14" t="n">
        <v>427</v>
      </c>
      <c r="G11" s="15">
        <f>IFERROR(F11/E11,0)</f>
        <v/>
      </c>
      <c r="H11" s="16" t="n">
        <v>504682</v>
      </c>
      <c r="I11" s="16" t="n">
        <v>56141</v>
      </c>
      <c r="J11" s="16" t="n">
        <v>1181.93</v>
      </c>
      <c r="K11" s="17">
        <f>IFERROR(H11/I11,0)</f>
        <v/>
      </c>
      <c r="L11" s="12" t="inlineStr">
        <is>
          <t>TBD</t>
        </is>
      </c>
      <c r="M11" s="12" t="inlineStr">
        <is>
          <t>Asia_AMEX-Campaign-FY25-Q4.xlsx</t>
        </is>
      </c>
      <c r="N11" s="12" t="inlineStr">
        <is>
          <t>FY26 Q2</t>
        </is>
      </c>
      <c r="O11" s="13" t="inlineStr">
        <is>
          <t>Enrollments derived (cap reached). H13/D13/E13/F13</t>
        </is>
      </c>
    </row>
    <row r="12">
      <c r="A12" s="12" t="inlineStr">
        <is>
          <t>Asia</t>
        </is>
      </c>
      <c r="B12" s="12" t="inlineStr">
        <is>
          <t>AU SBS (cap 10,000)</t>
        </is>
      </c>
      <c r="C12" s="12" t="inlineStr"/>
      <c r="D12" s="13" t="inlineStr">
        <is>
          <t>Spend AUD$800, get AUD$200</t>
        </is>
      </c>
      <c r="E12" s="14" t="n">
        <v>10000</v>
      </c>
      <c r="F12" s="14" t="n">
        <v>153</v>
      </c>
      <c r="G12" s="15">
        <f>IFERROR(F12/E12,0)</f>
        <v/>
      </c>
      <c r="H12" s="16" t="n">
        <v>266978</v>
      </c>
      <c r="I12" s="16" t="n">
        <v>20226</v>
      </c>
      <c r="J12" s="16" t="n">
        <v>1744.95</v>
      </c>
      <c r="K12" s="17">
        <f>IFERROR(H12/I12,0)</f>
        <v/>
      </c>
      <c r="L12" s="12" t="inlineStr">
        <is>
          <t>TBD</t>
        </is>
      </c>
      <c r="M12" s="12" t="inlineStr">
        <is>
          <t>Asia_AMEX-Campaign-FY25-Q4.xlsx</t>
        </is>
      </c>
      <c r="N12" s="12" t="inlineStr">
        <is>
          <t>FY26 Q2</t>
        </is>
      </c>
      <c r="O12" s="13" t="inlineStr">
        <is>
          <t>Enrollments derived (cap reached). H14/D14/E14/F14</t>
        </is>
      </c>
    </row>
    <row r="13">
      <c r="A13" s="12" t="inlineStr">
        <is>
          <t>Asia</t>
        </is>
      </c>
      <c r="B13" s="12" t="inlineStr">
        <is>
          <t>JP Consumer (cap 20,000)</t>
        </is>
      </c>
      <c r="C13" s="12" t="inlineStr"/>
      <c r="D13" s="13" t="inlineStr">
        <is>
          <t>Spend ¥150,000, get ¥30,000</t>
        </is>
      </c>
      <c r="E13" s="14" t="n">
        <v>20000</v>
      </c>
      <c r="F13" s="14" t="n">
        <v>310</v>
      </c>
      <c r="G13" s="15">
        <f>IFERROR(F13/E13,0)</f>
        <v/>
      </c>
      <c r="H13" s="16" t="n">
        <v>326214</v>
      </c>
      <c r="I13" s="16" t="n">
        <v>59819</v>
      </c>
      <c r="J13" s="16" t="n">
        <v>1052.3</v>
      </c>
      <c r="K13" s="17">
        <f>IFERROR(H13/I13,0)</f>
        <v/>
      </c>
      <c r="L13" s="12" t="inlineStr">
        <is>
          <t>TBD</t>
        </is>
      </c>
      <c r="M13" s="12" t="inlineStr">
        <is>
          <t>Asia_AMEX-Campaign-FY25-Q4.xlsx</t>
        </is>
      </c>
      <c r="N13" s="12" t="inlineStr">
        <is>
          <t>FY26 Q2</t>
        </is>
      </c>
      <c r="O13" s="13" t="inlineStr">
        <is>
          <t>Enrollments derived (cap reached). H15/D15/E15/F15</t>
        </is>
      </c>
    </row>
    <row r="14">
      <c r="A14" s="12" t="inlineStr">
        <is>
          <t>Asia</t>
        </is>
      </c>
      <c r="B14" s="12" t="inlineStr">
        <is>
          <t>JP SBS (cap 10,000)</t>
        </is>
      </c>
      <c r="C14" s="12" t="inlineStr"/>
      <c r="D14" s="13" t="inlineStr">
        <is>
          <t>Spend ¥150,000, get ¥30,000</t>
        </is>
      </c>
      <c r="E14" s="14" t="n">
        <v>10000</v>
      </c>
      <c r="F14" s="14" t="n">
        <v>58</v>
      </c>
      <c r="G14" s="15">
        <f>IFERROR(F14/E14,0)</f>
        <v/>
      </c>
      <c r="H14" s="16" t="n">
        <v>70530</v>
      </c>
      <c r="I14" s="16" t="n">
        <v>11185</v>
      </c>
      <c r="J14" s="16" t="n">
        <v>1216.03</v>
      </c>
      <c r="K14" s="17">
        <f>IFERROR(H14/I14,0)</f>
        <v/>
      </c>
      <c r="L14" s="12" t="inlineStr">
        <is>
          <t>TBD</t>
        </is>
      </c>
      <c r="M14" s="12" t="inlineStr">
        <is>
          <t>Asia_AMEX-Campaign-FY25-Q4.xlsx</t>
        </is>
      </c>
      <c r="N14" s="12" t="inlineStr">
        <is>
          <t>FY26 Q2</t>
        </is>
      </c>
      <c r="O14" s="13" t="inlineStr">
        <is>
          <t>Enrollments derived (cap reached). H16/D16/E16/F16</t>
        </is>
      </c>
    </row>
    <row r="15">
      <c r="A15" s="12" t="inlineStr">
        <is>
          <t>Asia</t>
        </is>
      </c>
      <c r="B15" s="12" t="inlineStr">
        <is>
          <t>SG All (cap 12,000)</t>
        </is>
      </c>
      <c r="C15" s="12" t="inlineStr"/>
      <c r="D15" s="13" t="inlineStr">
        <is>
          <t>Spend S$800, get S$200</t>
        </is>
      </c>
      <c r="E15" s="14" t="n">
        <v>12000</v>
      </c>
      <c r="F15" s="14" t="n">
        <v>48</v>
      </c>
      <c r="G15" s="15">
        <f>IFERROR(F15/E15,0)</f>
        <v/>
      </c>
      <c r="H15" s="16" t="n">
        <v>71691</v>
      </c>
      <c r="I15" s="16" t="n">
        <v>7432</v>
      </c>
      <c r="J15" s="16" t="n">
        <v>1493.56</v>
      </c>
      <c r="K15" s="17">
        <f>IFERROR(H15/I15,0)</f>
        <v/>
      </c>
      <c r="L15" s="12" t="inlineStr">
        <is>
          <t>TBD</t>
        </is>
      </c>
      <c r="M15" s="12" t="inlineStr">
        <is>
          <t>Asia_AMEX-Campaign-FY25-Q4.xlsx</t>
        </is>
      </c>
      <c r="N15" s="12" t="inlineStr">
        <is>
          <t>FY26 Q2</t>
        </is>
      </c>
      <c r="O15" s="13" t="inlineStr">
        <is>
          <t>Enrollments derived (cap reached). H17/D17/E17/F17</t>
        </is>
      </c>
    </row>
    <row r="16">
      <c r="A16" s="4" t="inlineStr">
        <is>
          <t>Americas</t>
        </is>
      </c>
      <c r="B16" s="4" t="inlineStr">
        <is>
          <t>Americas total — Nov 22, 2025 – Jan 17, 2026</t>
        </is>
      </c>
      <c r="C16" s="4" t="inlineStr"/>
      <c r="D16" s="5" t="inlineStr">
        <is>
          <t>Mixed offers · 4 segments concurrent</t>
        </is>
      </c>
      <c r="E16" s="6">
        <f>SUM(E17,E18,E19,E20)</f>
        <v/>
      </c>
      <c r="F16" s="6">
        <f>SUM(F17,F18,F19,F20)</f>
        <v/>
      </c>
      <c r="G16" s="7">
        <f>IFERROR(F16/E16,0)</f>
        <v/>
      </c>
      <c r="H16" s="8">
        <f>SUM(H17,H18,H19,H20)</f>
        <v/>
      </c>
      <c r="I16" s="8">
        <f>SUM(I17,I18,I19,I20)</f>
        <v/>
      </c>
      <c r="J16" s="8">
        <f>IFERROR(H16/F16,0)</f>
        <v/>
      </c>
      <c r="K16" s="9">
        <f>IFERROR(H16/I16,0)</f>
        <v/>
      </c>
      <c r="L16" s="10" t="inlineStr">
        <is>
          <t>TBD</t>
        </is>
      </c>
      <c r="M16" s="10" t="inlineStr">
        <is>
          <t>Americas_FY26 - AMEX Performance Tracker.xlsx</t>
        </is>
      </c>
      <c r="N16" s="10" t="inlineStr">
        <is>
          <t>Key Metrics Worksheet</t>
        </is>
      </c>
      <c r="O16" s="11" t="inlineStr">
        <is>
          <t>Americas calls this 'AOV' (redeemer-side) — equivalent to EMEA AOV Redeemers.</t>
        </is>
      </c>
    </row>
    <row r="17">
      <c r="A17" s="12" t="inlineStr">
        <is>
          <t>Americas</t>
        </is>
      </c>
      <c r="B17" s="12" t="inlineStr">
        <is>
          <t>Americas</t>
        </is>
      </c>
      <c r="C17" s="12" t="inlineStr">
        <is>
          <t>Consumer – No Spend</t>
        </is>
      </c>
      <c r="D17" s="13" t="inlineStr">
        <is>
          <t>Spend $70, get $15</t>
        </is>
      </c>
      <c r="E17" s="14" t="n">
        <v>89990</v>
      </c>
      <c r="F17" s="14" t="n">
        <v>920</v>
      </c>
      <c r="G17" s="15">
        <f>IFERROR(F17/E17,0)</f>
        <v/>
      </c>
      <c r="H17" s="16" t="n">
        <v>154396.79</v>
      </c>
      <c r="I17" s="16" t="n">
        <v>13800</v>
      </c>
      <c r="J17" s="16" t="n">
        <v>167.82</v>
      </c>
      <c r="K17" s="17">
        <f>IFERROR(H17/I17,0)</f>
        <v/>
      </c>
      <c r="L17" s="12" t="inlineStr">
        <is>
          <t>TBD</t>
        </is>
      </c>
      <c r="M17" s="12" t="inlineStr">
        <is>
          <t>Americas_FY26 - AMEX Performance Tracker.xlsx</t>
        </is>
      </c>
      <c r="N17" s="12" t="inlineStr">
        <is>
          <t>Key Metrics Worksheet</t>
        </is>
      </c>
      <c r="O17" s="13" t="inlineStr">
        <is>
          <t>J10/J11/J12/J13/J15</t>
        </is>
      </c>
    </row>
    <row r="18">
      <c r="A18" s="12" t="inlineStr">
        <is>
          <t>Americas</t>
        </is>
      </c>
      <c r="B18" s="12" t="inlineStr">
        <is>
          <t>Americas</t>
        </is>
      </c>
      <c r="C18" s="12" t="inlineStr">
        <is>
          <t>Consumer – SB Lookalike</t>
        </is>
      </c>
      <c r="D18" s="13" t="inlineStr">
        <is>
          <t>Spend $1,000, get $250</t>
        </is>
      </c>
      <c r="E18" s="14" t="n">
        <v>22000</v>
      </c>
      <c r="F18" s="14" t="n">
        <v>124</v>
      </c>
      <c r="G18" s="15">
        <f>IFERROR(F18/E18,0)</f>
        <v/>
      </c>
      <c r="H18" s="16" t="n">
        <v>172204.43</v>
      </c>
      <c r="I18" s="16" t="n">
        <v>31000</v>
      </c>
      <c r="J18" s="16" t="n">
        <v>1388.75</v>
      </c>
      <c r="K18" s="17">
        <f>IFERROR(H18/I18,0)</f>
        <v/>
      </c>
      <c r="L18" s="12" t="inlineStr">
        <is>
          <t>TBD</t>
        </is>
      </c>
      <c r="M18" s="12" t="inlineStr">
        <is>
          <t>Americas_FY26 - AMEX Performance Tracker.xlsx</t>
        </is>
      </c>
      <c r="N18" s="12" t="inlineStr">
        <is>
          <t>Key Metrics Worksheet</t>
        </is>
      </c>
      <c r="O18" s="13" t="inlineStr">
        <is>
          <t>K10/K11/K12/K13/K15</t>
        </is>
      </c>
    </row>
    <row r="19">
      <c r="A19" s="12" t="inlineStr">
        <is>
          <t>Americas</t>
        </is>
      </c>
      <c r="B19" s="12" t="inlineStr">
        <is>
          <t>Americas</t>
        </is>
      </c>
      <c r="C19" s="12" t="inlineStr">
        <is>
          <t>Consumer – Spend</t>
        </is>
      </c>
      <c r="D19" s="13" t="inlineStr">
        <is>
          <t>Spend $450, get $80</t>
        </is>
      </c>
      <c r="E19" s="14" t="n">
        <v>20000</v>
      </c>
      <c r="F19" s="14" t="n">
        <v>118</v>
      </c>
      <c r="G19" s="15">
        <f>IFERROR(F19/E19,0)</f>
        <v/>
      </c>
      <c r="H19" s="16" t="n">
        <v>140393.81</v>
      </c>
      <c r="I19" s="16" t="n">
        <v>9440</v>
      </c>
      <c r="J19" s="16" t="n">
        <v>1189.78</v>
      </c>
      <c r="K19" s="17">
        <f>IFERROR(H19/I19,0)</f>
        <v/>
      </c>
      <c r="L19" s="12" t="inlineStr">
        <is>
          <t>TBD</t>
        </is>
      </c>
      <c r="M19" s="12" t="inlineStr">
        <is>
          <t>Americas_FY26 - AMEX Performance Tracker.xlsx</t>
        </is>
      </c>
      <c r="N19" s="12" t="inlineStr">
        <is>
          <t>Key Metrics Worksheet</t>
        </is>
      </c>
      <c r="O19" s="13" t="inlineStr">
        <is>
          <t>L10/L11/L12/L13/L15</t>
        </is>
      </c>
    </row>
    <row r="20">
      <c r="A20" s="12" t="inlineStr">
        <is>
          <t>Americas</t>
        </is>
      </c>
      <c r="B20" s="12" t="inlineStr">
        <is>
          <t>Americas</t>
        </is>
      </c>
      <c r="C20" s="12" t="inlineStr">
        <is>
          <t>Small Business</t>
        </is>
      </c>
      <c r="D20" s="13" t="inlineStr">
        <is>
          <t>Spend $1,000, get $175</t>
        </is>
      </c>
      <c r="E20" s="14" t="n">
        <v>24844</v>
      </c>
      <c r="F20" s="14" t="n">
        <v>61</v>
      </c>
      <c r="G20" s="15">
        <f>IFERROR(F20/E20,0)</f>
        <v/>
      </c>
      <c r="H20" s="16" t="n">
        <v>109727.61</v>
      </c>
      <c r="I20" s="16" t="n">
        <v>10675</v>
      </c>
      <c r="J20" s="16" t="n">
        <v>1798.81</v>
      </c>
      <c r="K20" s="17">
        <f>IFERROR(H20/I20,0)</f>
        <v/>
      </c>
      <c r="L20" s="12" t="inlineStr">
        <is>
          <t>TBD</t>
        </is>
      </c>
      <c r="M20" s="12" t="inlineStr">
        <is>
          <t>Americas_FY26 - AMEX Performance Tracker.xlsx</t>
        </is>
      </c>
      <c r="N20" s="12" t="inlineStr">
        <is>
          <t>Key Metrics Worksheet</t>
        </is>
      </c>
      <c r="O20" s="13" t="inlineStr">
        <is>
          <t>M10/M11/M12/M13/M15</t>
        </is>
      </c>
    </row>
    <row r="21">
      <c r="D21" s="18" t="n"/>
      <c r="E21" s="19" t="n"/>
      <c r="F21" s="19" t="n"/>
      <c r="G21" s="20" t="n"/>
      <c r="H21" s="21" t="n"/>
      <c r="I21" s="21" t="n"/>
      <c r="J21" s="21" t="n"/>
      <c r="K21" s="22" t="n"/>
      <c r="O21" s="18" t="n"/>
    </row>
    <row r="22">
      <c r="A22" s="23" t="inlineStr">
        <is>
          <t>GRAND TOTAL</t>
        </is>
      </c>
      <c r="B22" s="23" t="inlineStr">
        <is>
          <t>All regions</t>
        </is>
      </c>
      <c r="C22" s="23" t="n"/>
      <c r="D22" s="24" t="n"/>
      <c r="E22" s="25">
        <f>E5+E10+E16</f>
        <v/>
      </c>
      <c r="F22" s="25">
        <f>F5+F10+F16</f>
        <v/>
      </c>
      <c r="G22" s="26">
        <f>IFERROR(F22/E22,0)</f>
        <v/>
      </c>
      <c r="H22" s="27">
        <f>H5+H10+H16</f>
        <v/>
      </c>
      <c r="I22" s="27">
        <f>I5+I10+I16</f>
        <v/>
      </c>
      <c r="J22" s="27">
        <f>IFERROR(H22/F22,0)</f>
        <v/>
      </c>
      <c r="K22" s="28">
        <f>IFERROR(H22/I22,0)</f>
        <v/>
      </c>
      <c r="L22" s="23" t="inlineStr">
        <is>
          <t>TBD</t>
        </is>
      </c>
      <c r="M22" s="23" t="n"/>
      <c r="N22" s="23" t="n"/>
      <c r="O22" s="24" t="n"/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AMEX FY26 Q2 — Metric Definitions</t>
        </is>
      </c>
    </row>
    <row r="3">
      <c r="A3" s="29" t="inlineStr">
        <is>
          <t>Metric</t>
        </is>
      </c>
      <c r="B3" s="29" t="inlineStr">
        <is>
          <t>Definition</t>
        </is>
      </c>
    </row>
    <row r="4" ht="36" customHeight="1">
      <c r="A4" s="30" t="inlineStr">
        <is>
          <t>Region / Market</t>
        </is>
      </c>
      <c r="B4" s="31" t="inlineStr">
        <is>
          <t>Region or market/segment rollup for the AMEX campaign row.</t>
        </is>
      </c>
    </row>
    <row r="5" ht="36" customHeight="1">
      <c r="A5" s="30" t="inlineStr">
        <is>
          <t>Audience</t>
        </is>
      </c>
      <c r="B5" s="31" t="inlineStr">
        <is>
          <t>Audience segment within the region (used by Americas to break out Consumer No-Spend, SB Lookalike, Consumer Spend, and Small Business).</t>
        </is>
      </c>
    </row>
    <row r="6" ht="36" customHeight="1">
      <c r="A6" s="30" t="inlineStr">
        <is>
          <t>Offer</t>
        </is>
      </c>
      <c r="B6" s="31" t="inlineStr">
        <is>
          <t>The offer construct presented to cardholders (spend threshold and reward).</t>
        </is>
      </c>
    </row>
    <row r="7" ht="36" customHeight="1">
      <c r="A7" s="30" t="inlineStr">
        <is>
          <t>Enrollments</t>
        </is>
      </c>
      <c r="B7" s="31" t="inlineStr">
        <is>
          <t>Intent step: customer accepted/opted into the offer.</t>
        </is>
      </c>
    </row>
    <row r="8" ht="36" customHeight="1">
      <c r="A8" s="30" t="inlineStr">
        <is>
          <t>Redemptions</t>
        </is>
      </c>
      <c r="B8" s="31" t="inlineStr">
        <is>
          <t>Conversion step: qualifying purchase made by an enrolled customer.</t>
        </is>
      </c>
    </row>
    <row r="9" ht="36" customHeight="1">
      <c r="A9" s="30" t="inlineStr">
        <is>
          <t>Red. Rate</t>
        </is>
      </c>
      <c r="B9" s="31" t="inlineStr">
        <is>
          <t>Redemption Rate = Redemptions ÷ Enrollments.</t>
        </is>
      </c>
    </row>
    <row r="10" ht="36" customHeight="1">
      <c r="A10" s="30" t="inlineStr">
        <is>
          <t>Red. Spend (USD)</t>
        </is>
      </c>
      <c r="B10" s="31" t="inlineStr">
        <is>
          <t>Total customer spend in qualifying purchases that triggered the offer (USD).</t>
        </is>
      </c>
    </row>
    <row r="11" ht="36" customHeight="1">
      <c r="A11" s="30" t="inlineStr">
        <is>
          <t>Offer Cost (USD)</t>
        </is>
      </c>
      <c r="B11" s="31" t="inlineStr">
        <is>
          <t>Cost to Microsoft of fulfilling offer rewards (USD).</t>
        </is>
      </c>
    </row>
    <row r="12" ht="36" customHeight="1">
      <c r="A12" s="30" t="inlineStr">
        <is>
          <t>AOV Redeemers (USD)</t>
        </is>
      </c>
      <c r="B12" s="31" t="inlineStr">
        <is>
          <t>Average order value of redeeming customers (USD). EMEA reports this as 'AOV Redeemers'; Americas reports it as 'AOV'. Asia interim block has no AOV column — derived = Red Spend ÷ Redemptions.</t>
        </is>
      </c>
    </row>
    <row r="13" ht="36" customHeight="1">
      <c r="A13" s="30" t="inlineStr">
        <is>
          <t>ROI</t>
        </is>
      </c>
      <c r="B13" s="31" t="inlineStr">
        <is>
          <t>ROI = Redemption Spend ÷ Offer Cost.</t>
        </is>
      </c>
    </row>
    <row r="14" ht="36" customHeight="1">
      <c r="A14" s="30" t="inlineStr">
        <is>
          <t>Revenue (USD)</t>
        </is>
      </c>
      <c r="B14" s="31" t="inlineStr">
        <is>
          <t>TBD. Needs final definition (e.g., Redemption Spend only vs. broader attributed revenue).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2026-06-18T17:54:06Z</dcterms:created>
  <dcterms:modified xmlns:dcterms="http://purl.org/dc/terms/" xmlns:xsi="http://www.w3.org/2001/XMLSchema-instance" xsi:type="dcterms:W3CDTF">2026-06-18T17:54:06Z</dcterms:modified>
</cp:coreProperties>
</file>